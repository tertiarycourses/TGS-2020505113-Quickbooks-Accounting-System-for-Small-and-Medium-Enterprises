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ource Data" sheetId="2" state="visible" r:id="rId2"/>
    <sheet xmlns:r="http://schemas.openxmlformats.org/officeDocument/2006/relationships" name="Control Checks" sheetId="3" state="visible" r:id="rId3"/>
    <sheet xmlns:r="http://schemas.openxmlformats.org/officeDocument/2006/relationships" name="Evidence Log" sheetId="4" state="visible" r:id="rId4"/>
    <sheet xmlns:r="http://schemas.openxmlformats.org/officeDocument/2006/relationships" name="Exception Log" sheetId="5" state="visible" r:id="rId5"/>
  </sheets>
  <definedNames>
    <definedName name="_xlnm._FilterDatabase" localSheetId="2" hidden="1">'Control Checks'!$A$1:$D$6</definedName>
    <definedName name="_xlnm._FilterDatabase" localSheetId="3" hidden="1">'Evidence Log'!$A$1:$F$5</definedName>
    <definedName name="_xlnm._FilterDatabase" localSheetId="4" hidden="1">'Exception Log'!$A$1:$G$2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;-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 ht="28" customHeight="1">
      <c r="A1" s="1" t="inlineStr">
        <is>
          <t>Field</t>
        </is>
      </c>
      <c r="B1" s="1" t="inlineStr">
        <is>
          <t>Details</t>
        </is>
      </c>
    </row>
    <row r="2">
      <c r="A2" s="2" t="inlineStr">
        <is>
          <t>Activity</t>
        </is>
      </c>
      <c r="B2" s="2" t="inlineStr">
        <is>
          <t>Activity 03: Import Banking Data and Reconcile January</t>
        </is>
      </c>
    </row>
    <row r="3">
      <c r="A3" s="2" t="inlineStr">
        <is>
          <t>Scenario</t>
        </is>
      </c>
      <c r="B3" s="2" t="inlineStr">
        <is>
          <t>Orchid Bay Trading Pte Ltd</t>
        </is>
      </c>
    </row>
    <row r="4">
      <c r="A4" s="2" t="inlineStr">
        <is>
          <t>Level / duration</t>
        </is>
      </c>
      <c r="B4" s="2" t="inlineStr">
        <is>
          <t>Intermediate · 50 min</t>
        </is>
      </c>
    </row>
    <row r="5">
      <c r="A5" s="2" t="inlineStr">
        <is>
          <t>Alignment</t>
        </is>
      </c>
      <c r="B5" s="2" t="inlineStr">
        <is>
          <t>A2 · K2</t>
        </is>
      </c>
    </row>
    <row r="6">
      <c r="A6" s="2" t="inlineStr">
        <is>
          <t>Objective</t>
        </is>
      </c>
      <c r="B6" s="2" t="inlineStr">
        <is>
          <t>Set up bank accounts, import statement lines and reconcile the January statement.</t>
        </is>
      </c>
    </row>
    <row r="7">
      <c r="A7" s="2" t="inlineStr">
        <is>
          <t>Expected output</t>
        </is>
      </c>
      <c r="B7" s="2" t="inlineStr">
        <is>
          <t>Imported bank batch, classified transactions, reconciliation report and exception log.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9" customWidth="1" min="4" max="4"/>
    <col width="18" customWidth="1" min="5" max="5"/>
    <col width="14" customWidth="1" min="6" max="6"/>
    <col width="18" customWidth="1" min="7" max="7"/>
    <col width="20" customWidth="1" min="8" max="8"/>
  </cols>
  <sheetData>
    <row r="1" ht="28" customHeight="1">
      <c r="A1" s="1" t="inlineStr">
        <is>
          <t>Record ID</t>
        </is>
      </c>
      <c r="B1" s="1" t="inlineStr">
        <is>
          <t>Date</t>
        </is>
      </c>
      <c r="C1" s="1" t="inlineStr">
        <is>
          <t>Counterparty / Owner</t>
        </is>
      </c>
      <c r="D1" s="1" t="inlineStr">
        <is>
          <t>Description</t>
        </is>
      </c>
      <c r="E1" s="1" t="inlineStr">
        <is>
          <t>Net Amount (SGD)</t>
        </is>
      </c>
      <c r="F1" s="1" t="inlineStr">
        <is>
          <t>GST Rate</t>
        </is>
      </c>
      <c r="G1" s="1" t="inlineStr">
        <is>
          <t>GST Amount (SGD)</t>
        </is>
      </c>
      <c r="H1" s="1" t="inlineStr">
        <is>
          <t>Gross Amount (SGD)</t>
        </is>
      </c>
    </row>
    <row r="2">
      <c r="A2" s="3" t="inlineStr">
        <is>
          <t>BNK-001</t>
        </is>
      </c>
      <c r="B2" s="3" t="inlineStr">
        <is>
          <t>2026-01-05</t>
        </is>
      </c>
      <c r="C2" s="3" t="inlineStr">
        <is>
          <t>Director</t>
        </is>
      </c>
      <c r="D2" s="3" t="inlineStr">
        <is>
          <t>Capital injection</t>
        </is>
      </c>
      <c r="E2" s="4" t="n">
        <v>80000</v>
      </c>
      <c r="F2" s="5" t="n">
        <v>0</v>
      </c>
      <c r="G2" s="6">
        <f>ROUND(E2*F2,2)</f>
        <v/>
      </c>
      <c r="H2" s="6">
        <f>E2+G2</f>
        <v/>
      </c>
    </row>
    <row r="3">
      <c r="A3" s="3" t="inlineStr">
        <is>
          <t>BNK-002</t>
        </is>
      </c>
      <c r="B3" s="3" t="inlineStr">
        <is>
          <t>2026-01-12</t>
        </is>
      </c>
      <c r="C3" s="3" t="inlineStr">
        <is>
          <t>City Office Services</t>
        </is>
      </c>
      <c r="D3" s="3" t="inlineStr">
        <is>
          <t>Consulting fee</t>
        </is>
      </c>
      <c r="E3" s="4" t="n">
        <v>-2400</v>
      </c>
      <c r="F3" s="5" t="n">
        <v>0.09</v>
      </c>
      <c r="G3" s="6">
        <f>ROUND(E3*F3,2)</f>
        <v/>
      </c>
      <c r="H3" s="6">
        <f>E3+G3</f>
        <v/>
      </c>
    </row>
    <row r="4">
      <c r="A4" s="3" t="inlineStr">
        <is>
          <t>BNK-003</t>
        </is>
      </c>
      <c r="B4" s="3" t="inlineStr">
        <is>
          <t>2026-01-20</t>
        </is>
      </c>
      <c r="C4" s="3" t="inlineStr">
        <is>
          <t>Internal transfer</t>
        </is>
      </c>
      <c r="D4" s="3" t="inlineStr">
        <is>
          <t>DBS to OCBC</t>
        </is>
      </c>
      <c r="E4" s="4" t="n">
        <v>-15000</v>
      </c>
      <c r="F4" s="5" t="n">
        <v>0</v>
      </c>
      <c r="G4" s="6">
        <f>ROUND(E4*F4,2)</f>
        <v/>
      </c>
      <c r="H4" s="6">
        <f>E4+G4</f>
        <v/>
      </c>
    </row>
    <row r="5">
      <c r="A5" s="3" t="inlineStr">
        <is>
          <t>BNK-004</t>
        </is>
      </c>
      <c r="B5" s="3" t="inlineStr">
        <is>
          <t>2026-01-31</t>
        </is>
      </c>
      <c r="C5" s="3" t="inlineStr">
        <is>
          <t>DBS</t>
        </is>
      </c>
      <c r="D5" s="3" t="inlineStr">
        <is>
          <t>Bank charge</t>
        </is>
      </c>
      <c r="E5" s="4" t="n">
        <v>-35</v>
      </c>
      <c r="F5" s="5" t="n">
        <v>0</v>
      </c>
      <c r="G5" s="6">
        <f>ROUND(E5*F5,2)</f>
        <v/>
      </c>
      <c r="H5" s="6">
        <f>E5+G5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17" customWidth="1" min="3" max="3"/>
    <col width="42" customWidth="1" min="4" max="4"/>
  </cols>
  <sheetData>
    <row r="1" ht="28" customHeight="1">
      <c r="A1" s="1" t="inlineStr">
        <is>
          <t>Control</t>
        </is>
      </c>
      <c r="B1" s="1" t="inlineStr">
        <is>
          <t>Formula / expected result</t>
        </is>
      </c>
      <c r="C1" s="1" t="inlineStr">
        <is>
          <t>Reviewer status</t>
        </is>
      </c>
      <c r="D1" s="1" t="inlineStr">
        <is>
          <t>Notes</t>
        </is>
      </c>
    </row>
    <row r="2">
      <c r="A2" s="7" t="inlineStr">
        <is>
          <t>Source row count</t>
        </is>
      </c>
      <c r="B2" s="2">
        <f>COUNTA('Source Data'!A2:A100)</f>
        <v/>
      </c>
      <c r="C2" s="2" t="inlineStr">
        <is>
          <t>Pending</t>
        </is>
      </c>
      <c r="D2" s="2" t="inlineStr"/>
    </row>
    <row r="3">
      <c r="A3" s="2" t="inlineStr">
        <is>
          <t>Net total (SGD)</t>
        </is>
      </c>
      <c r="B3" s="2">
        <f>SUM('Source Data'!E2:E100)</f>
        <v/>
      </c>
      <c r="C3" s="2" t="inlineStr">
        <is>
          <t>Pending</t>
        </is>
      </c>
      <c r="D3" s="2" t="inlineStr"/>
    </row>
    <row r="4">
      <c r="A4" s="2" t="inlineStr">
        <is>
          <t>GST total (SGD)</t>
        </is>
      </c>
      <c r="B4" s="2">
        <f>SUM('Source Data'!G2:G100)</f>
        <v/>
      </c>
      <c r="C4" s="2" t="inlineStr">
        <is>
          <t>Pending</t>
        </is>
      </c>
      <c r="D4" s="2" t="inlineStr"/>
    </row>
    <row r="5">
      <c r="A5" s="2" t="inlineStr">
        <is>
          <t>Gross total (SGD)</t>
        </is>
      </c>
      <c r="B5" s="2">
        <f>SUM('Source Data'!H2:H100)</f>
        <v/>
      </c>
      <c r="C5" s="2" t="inlineStr">
        <is>
          <t>Pending</t>
        </is>
      </c>
      <c r="D5" s="2" t="inlineStr"/>
    </row>
    <row r="6">
      <c r="A6" s="2" t="inlineStr">
        <is>
          <t>Acceptance criteria met</t>
        </is>
      </c>
      <c r="B6" s="2">
        <f>COUNTIF(C2:C5,"Complete")</f>
        <v/>
      </c>
      <c r="C6" s="2" t="inlineStr">
        <is>
          <t>Pending</t>
        </is>
      </c>
      <c r="D6" s="2" t="inlineStr">
        <is>
          <t>Set evidence status to Complete after review</t>
        </is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29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Evidence ID</t>
        </is>
      </c>
      <c r="B1" s="1" t="inlineStr">
        <is>
          <t>Required evidence</t>
        </is>
      </c>
      <c r="C1" s="1" t="inlineStr">
        <is>
          <t>File / screenshot reference</t>
        </is>
      </c>
      <c r="D1" s="1" t="inlineStr">
        <is>
          <t>Status</t>
        </is>
      </c>
      <c r="E1" s="1" t="inlineStr">
        <is>
          <t>Reviewer</t>
        </is>
      </c>
      <c r="F1" s="1" t="inlineStr">
        <is>
          <t>Review date</t>
        </is>
      </c>
    </row>
    <row r="2">
      <c r="A2" s="3" t="inlineStr">
        <is>
          <t>E01</t>
        </is>
      </c>
      <c r="B2" s="3" t="inlineStr">
        <is>
          <t>Completed workbook</t>
        </is>
      </c>
      <c r="C2" s="3" t="inlineStr"/>
      <c r="D2" s="3" t="inlineStr">
        <is>
          <t>Pending</t>
        </is>
      </c>
      <c r="E2" s="3" t="inlineStr"/>
      <c r="F2" s="3" t="inlineStr"/>
    </row>
    <row r="3">
      <c r="A3" s="3" t="inlineStr">
        <is>
          <t>E02</t>
        </is>
      </c>
      <c r="B3" s="3" t="inlineStr">
        <is>
          <t>QuickBooks report or screenshot</t>
        </is>
      </c>
      <c r="C3" s="3" t="inlineStr"/>
      <c r="D3" s="3" t="inlineStr">
        <is>
          <t>Pending</t>
        </is>
      </c>
      <c r="E3" s="3" t="inlineStr"/>
      <c r="F3" s="3" t="inlineStr"/>
    </row>
    <row r="4">
      <c r="A4" s="3" t="inlineStr">
        <is>
          <t>E03</t>
        </is>
      </c>
      <c r="B4" s="3" t="inlineStr">
        <is>
          <t>Exception/decision log</t>
        </is>
      </c>
      <c r="C4" s="3" t="inlineStr"/>
      <c r="D4" s="3" t="inlineStr">
        <is>
          <t>Pending</t>
        </is>
      </c>
      <c r="E4" s="3" t="inlineStr"/>
      <c r="F4" s="3" t="inlineStr"/>
    </row>
    <row r="5">
      <c r="A5" s="3" t="inlineStr">
        <is>
          <t>E04</t>
        </is>
      </c>
      <c r="B5" s="3" t="inlineStr">
        <is>
          <t>Reviewer sign-off</t>
        </is>
      </c>
      <c r="C5" s="3" t="inlineStr"/>
      <c r="D5" s="3" t="inlineStr">
        <is>
          <t>Pending</t>
        </is>
      </c>
      <c r="E5" s="3" t="inlineStr"/>
      <c r="F5" s="3" t="inlineStr"/>
    </row>
  </sheetData>
  <autoFilter ref="A1:F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9" customWidth="1" min="3" max="3"/>
    <col width="42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Exception ID</t>
        </is>
      </c>
      <c r="B1" s="1" t="inlineStr">
        <is>
          <t>Observed issue</t>
        </is>
      </c>
      <c r="C1" s="1" t="inlineStr">
        <is>
          <t>Root cause</t>
        </is>
      </c>
      <c r="D1" s="1" t="inlineStr">
        <is>
          <t>Decision / correction</t>
        </is>
      </c>
      <c r="E1" s="1" t="inlineStr">
        <is>
          <t>Owner</t>
        </is>
      </c>
      <c r="F1" s="1" t="inlineStr">
        <is>
          <t>Due date</t>
        </is>
      </c>
      <c r="G1" s="1" t="inlineStr">
        <is>
          <t>Status</t>
        </is>
      </c>
    </row>
    <row r="2">
      <c r="A2" s="3" t="inlineStr">
        <is>
          <t>X01</t>
        </is>
      </c>
      <c r="B2" s="3" t="inlineStr">
        <is>
          <t>Example: QuickBooks menu label differs from guide</t>
        </is>
      </c>
      <c r="C2" s="3" t="inlineStr">
        <is>
          <t>Product UI update</t>
        </is>
      </c>
      <c r="D2" s="3" t="inlineStr">
        <is>
          <t>Record actual path; preserve control intent</t>
        </is>
      </c>
      <c r="E2" s="3" t="inlineStr">
        <is>
          <t>Learner</t>
        </is>
      </c>
      <c r="F2" s="3" t="inlineStr"/>
      <c r="G2" s="3" t="inlineStr">
        <is>
          <t>Open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2026-08-15T09:45:28Z</dcterms:created>
  <dcterms:modified xmlns:dcterms="http://purl.org/dc/terms/" xmlns:xsi="http://www.w3.org/2001/XMLSchema-instance" xsi:type="dcterms:W3CDTF">2026-08-15T09:45:28Z</dcterms:modified>
</cp:coreProperties>
</file>
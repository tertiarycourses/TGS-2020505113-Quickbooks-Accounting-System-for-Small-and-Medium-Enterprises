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<sst xmlns="http://schemas.openxmlformats.org/spreadsheetml/2006/main" count="80" uniqueCount="67">
  <si>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Field</t>
  </si>
  <si>
    <t xml:space="preserve">Details</t>
  </si>
  <si>
    <t xml:space="preserve">Activity</t>
  </si>
  <si>
    <t xml:space="preserve">Activity 08: Prepare the GST F5 Review Pack</t>
  </si>
  <si>
    <t xml:space="preserve">Scenario</t>
  </si>
  <si>
    <t xml:space="preserve">Orchid Bay Trading Pte Ltd</t>
  </si>
  <si>
    <t xml:space="preserve">Level / duration</t>
  </si>
  <si>
    <t xml:space="preserve">Advanced · 40 min</t>
  </si>
  <si>
    <t xml:space="preserve">Alignment</t>
  </si>
  <si>
    <t xml:space="preserve">A3 · K3 · K4</t>
  </si>
  <si>
    <t xml:space="preserve">Objective</t>
  </si>
  <si>
    <t xml:space="preserve">Reconcile GST ledgers and prepare a review pack for the quarterly GST return.</t>
  </si>
  <si>
    <t xml:space="preserve">Expected output</t>
  </si>
  <si>
    <t xml:space="preserve">GST summary/detail reconciliation, exception report and reviewer sign-off pack.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</si>
  <si>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</si>
  <si>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</si>
  <si>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</si>
  <si>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</si>
  <si>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</si>
  <si>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</si>
  <si>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</si>
  <si>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</si>
  <si>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F5-001</t>
  </si>
  <si>
    <t xml:space="preserve">2026-01-31</t>
  </si>
  <si>
    <t xml:space="preserve">GST control</t>
  </si>
  <si>
    <t xml:space="preserve">Quarter taxable supplies</t>
  </si>
  <si>
    <t xml:space="preserve">F5-002</t>
  </si>
  <si>
    <t xml:space="preserve">Quarter taxable purchases</t>
  </si>
  <si>
    <t xml:space="preserve">F5-003</t>
  </si>
  <si>
    <t xml:space="preserve">Credit adjustments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</si>
  <si>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</si>
  <si>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</si>
  <si>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</si>
  <si>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</si>
  <si>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</si>
  <si>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</si>
  <si>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</si>
  <si>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</si>
  <si>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</si>
  <si>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</si>
  <si>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</si>
  <si>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</si>
  <si>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</si>
  <si>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</si>
  <si>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</si>
  <si>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</si>
  <si>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</si>
  <si>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</si>
  <si>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</si>
  <si>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</si>
  <si>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QuickBooks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</si>
  <si>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</si>
  <si>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</si>
  <si>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</si>
  <si>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</si>
  <si>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</si>
  <si>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</si>
  <si>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</si>
  <si>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</si>
  <si>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</si>
  <si>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</si>
  <si>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</si>
  <si>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QuickBooks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</si>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</sst>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186000</v>
      </c>
      <c r="F2" s="5" t="n">
        <v>0.09</v>
      </c>
      <c r="G2" s="6" t="n">
        <f aca="false">ROUND(E2*F2,2)</f>
        <v>16740</v>
      </c>
      <c r="H2" s="6" t="n">
        <f aca="false">E2+G2</f>
        <v>202740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92000</v>
      </c>
      <c r="F3" s="5" t="n">
        <v>0.09</v>
      </c>
      <c r="G3" s="6" t="n">
        <f aca="false">ROUND(E3*F3,2)</f>
        <v>8280</v>
      </c>
      <c r="H3" s="6" t="n">
        <f aca="false">E3+G3</f>
        <v>100280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-2500</v>
      </c>
      <c r="F4" s="5" t="n">
        <v>0.09</v>
      </c>
      <c r="G4" s="6" t="n">
        <f aca="false">ROUND(E4*F4,2)</f>
        <v>-225</v>
      </c>
      <c r="H4" s="6" t="n">
        <f aca="false">E4+G4</f>
        <v>-2725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</row>
    <row r="2" customFormat="false" ht="15" hidden="false" customHeight="false" outlineLevel="0" collapsed="false">
      <c r="A2" s="7" t="s">
        <v>34</v>
      </c>
      <c r="B2" s="2" t="n">
        <f aca="false">COUNTA('Source Data'!A2:A100)</f>
        <v>3</v>
      </c>
      <c r="C2" s="2" t="s">
        <v>35</v>
      </c>
      <c r="D2" s="2"/>
    </row>
    <row r="3" customFormat="false" ht="15" hidden="false" customHeight="false" outlineLevel="0" collapsed="false">
      <c r="A3" s="2" t="s">
        <v>36</v>
      </c>
      <c r="B3" s="2" t="n">
        <f aca="false">SUM('Source Data'!E2:E100)</f>
        <v>275500</v>
      </c>
      <c r="C3" s="2" t="s">
        <v>35</v>
      </c>
      <c r="D3" s="2"/>
    </row>
    <row r="4" customFormat="false" ht="15" hidden="false" customHeight="false" outlineLevel="0" collapsed="false">
      <c r="A4" s="2" t="s">
        <v>37</v>
      </c>
      <c r="B4" s="2" t="n">
        <f aca="false">SUM('Source Data'!G2:G100)</f>
        <v>24795</v>
      </c>
      <c r="C4" s="2" t="s">
        <v>35</v>
      </c>
      <c r="D4" s="2"/>
    </row>
    <row r="5" customFormat="false" ht="15" hidden="false" customHeight="false" outlineLevel="0" collapsed="false">
      <c r="A5" s="2" t="s">
        <v>38</v>
      </c>
      <c r="B5" s="2" t="n">
        <f aca="false">SUM('Source Data'!H2:H100)</f>
        <v>300295</v>
      </c>
      <c r="C5" s="2" t="s">
        <v>35</v>
      </c>
      <c r="D5" s="2"/>
    </row>
    <row r="6" customFormat="false" ht="15" hidden="false" customHeight="false" outlineLevel="0" collapsed="false">
      <c r="A6" s="2" t="s">
        <v>39</v>
      </c>
      <c r="B6" s="2" t="n">
        <f aca="false">COUNTIF(C2:C5,"Complete")</f>
        <v>0</v>
      </c>
      <c r="C6" s="2" t="s">
        <v>35</v>
      </c>
      <c r="D6" s="2" t="s">
        <v>40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customFormat="false" ht="15" hidden="false" customHeight="false" outlineLevel="0" collapsed="false">
      <c r="A2" s="3" t="s">
        <v>47</v>
      </c>
      <c r="B2" s="3" t="s">
        <v>48</v>
      </c>
      <c r="C2" s="3"/>
      <c r="D2" s="3" t="s">
        <v>35</v>
      </c>
      <c r="E2" s="3"/>
      <c r="F2" s="3"/>
    </row>
    <row r="3" customFormat="false" ht="15" hidden="false" customHeight="false" outlineLevel="0" collapsed="false">
      <c r="A3" s="3" t="s">
        <v>49</v>
      </c>
      <c r="B3" s="3" t="s">
        <v>50</v>
      </c>
      <c r="C3" s="3"/>
      <c r="D3" s="3" t="s">
        <v>35</v>
      </c>
      <c r="E3" s="3"/>
      <c r="F3" s="3"/>
    </row>
    <row r="4" customFormat="false" ht="15" hidden="false" customHeight="false" outlineLevel="0" collapsed="false">
      <c r="A4" s="3" t="s">
        <v>51</v>
      </c>
      <c r="B4" s="3" t="s">
        <v>52</v>
      </c>
      <c r="C4" s="3"/>
      <c r="D4" s="3" t="s">
        <v>35</v>
      </c>
      <c r="E4" s="3"/>
      <c r="F4" s="3"/>
    </row>
    <row r="5" customFormat="false" ht="15" hidden="false" customHeight="false" outlineLevel="0" collapsed="false">
      <c r="A5" s="3" t="s">
        <v>53</v>
      </c>
      <c r="B5" s="3" t="s">
        <v>54</v>
      </c>
      <c r="C5" s="3"/>
      <c r="D5" s="3" t="s">
        <v>35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44</v>
      </c>
    </row>
    <row r="2" customFormat="false" ht="23.85" hidden="false" customHeight="false" outlineLevel="0" collapsed="false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/>
      <c r="G2" s="3" t="s">
        <v>66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2026-08-15T09:45:28Z</dcterms:created>
  <dc:creator>openpyxl</dc:creator>
  <dc:description/>
  <dc:language>en-SG</dc:language>
  <cp:lastModifiedBy/>
  <dcterms:modified xsi:type="dcterms:W3CDTF">2026-08-15T09:45:28Z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